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-15" windowWidth="21075" windowHeight="10035"/>
  </bookViews>
  <sheets>
    <sheet name="transport defra fuel" sheetId="1" r:id="rId1"/>
    <sheet name="transport defra vehicle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H2" i="2" l="1"/>
  <c r="G2" i="2"/>
  <c r="L2" i="2"/>
  <c r="K2" i="2"/>
  <c r="F3" i="1"/>
  <c r="E4" i="1"/>
  <c r="D5" i="1"/>
  <c r="H5" i="1"/>
  <c r="D7" i="1"/>
  <c r="H7" i="1"/>
  <c r="G3" i="1"/>
  <c r="F4" i="1"/>
  <c r="E5" i="1"/>
  <c r="D6" i="1"/>
  <c r="H6" i="1"/>
  <c r="G7" i="1"/>
  <c r="E2" i="1"/>
  <c r="F2" i="1"/>
  <c r="D2" i="1"/>
  <c r="D2" i="2"/>
  <c r="C7" i="1"/>
  <c r="E2" i="2"/>
  <c r="C6" i="1"/>
  <c r="C5" i="1"/>
  <c r="F2" i="2"/>
  <c r="J2" i="2"/>
  <c r="I2" i="2"/>
  <c r="D3" i="1"/>
  <c r="H3" i="1"/>
  <c r="G4" i="1"/>
  <c r="F5" i="1"/>
  <c r="E6" i="1"/>
  <c r="F7" i="1"/>
  <c r="E3" i="1"/>
  <c r="D4" i="1"/>
  <c r="H4" i="1"/>
  <c r="G5" i="1"/>
  <c r="F6" i="1"/>
  <c r="E7" i="1"/>
  <c r="G6" i="1"/>
  <c r="G2" i="1"/>
  <c r="H2" i="1"/>
  <c r="C3" i="1"/>
  <c r="C4" i="1"/>
  <c r="C2" i="1"/>
  <c r="C2" i="2"/>
</calcChain>
</file>

<file path=xl/sharedStrings.xml><?xml version="1.0" encoding="utf-8"?>
<sst xmlns="http://schemas.openxmlformats.org/spreadsheetml/2006/main" count="52" uniqueCount="36">
  <si>
    <t>Path</t>
  </si>
  <si>
    <t>transport/defra/fuel</t>
  </si>
  <si>
    <t>9DE1D9435784</t>
  </si>
  <si>
    <t>Type of fuel</t>
  </si>
  <si>
    <t>UID</t>
  </si>
  <si>
    <t>5C521E17EDE1</t>
  </si>
  <si>
    <t>S5EJCLVVCUP2</t>
  </si>
  <si>
    <t>68BA9ED4CD1B</t>
  </si>
  <si>
    <t>AA6B1557CEA6</t>
  </si>
  <si>
    <t>NL9467O7Y4K3</t>
  </si>
  <si>
    <t>massTotalCO2ePerVolume</t>
  </si>
  <si>
    <t>massDirectCO2ePerVolume</t>
  </si>
  <si>
    <t>massIndirectCO2ePerVolume</t>
  </si>
  <si>
    <t>fuel</t>
  </si>
  <si>
    <t>massN2OPerVolume</t>
  </si>
  <si>
    <t>massCO2PerVolume</t>
  </si>
  <si>
    <t>transport/defra/vehicle</t>
  </si>
  <si>
    <t>BE7018046042</t>
  </si>
  <si>
    <t>massN2OPerDistance</t>
  </si>
  <si>
    <t>massTotalCO2ePerDistance</t>
  </si>
  <si>
    <t>massCO2PerDistance</t>
  </si>
  <si>
    <t>massIndirectCO2ePerDistance</t>
  </si>
  <si>
    <t>type</t>
  </si>
  <si>
    <t>massDirectCO2ePerDistance</t>
  </si>
  <si>
    <t>size</t>
  </si>
  <si>
    <t>massCH4PerDistance</t>
  </si>
  <si>
    <t>Label</t>
  </si>
  <si>
    <t>06516F16E20A</t>
  </si>
  <si>
    <t>ACF8FB0E4747</t>
  </si>
  <si>
    <t>E14299B19C6E</t>
  </si>
  <si>
    <t>C8BBF8A34145</t>
  </si>
  <si>
    <t>2239E013D7B4</t>
  </si>
  <si>
    <t>F5168CCBC281</t>
  </si>
  <si>
    <t>DEE1E41E6EC2</t>
  </si>
  <si>
    <t>6C7EDE70487D</t>
  </si>
  <si>
    <t>ADD371E0C4F2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</si>
</sst>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 applyAlignment="1">
      <alignment textRotation="45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'transport defra fuel'!$C$7</c:f>
              <c:strCache>
                <c:ptCount val="1"/>
                <c:pt idx="0">
                  <c:v>Petrol (retail station biofuel blend)</c:v>
                </c:pt>
              </c:strCache>
            </c:strRef>
          </c:tx>
          <c:invertIfNegative val="0"/>
          <c:cat>
            <c:strRef>
              <c:f>'transport defra fuel'!$D$1:$H$1</c:f>
              <c:strCache>
                <c:ptCount val="5"/>
                <c:pt idx="0">
                  <c:v>massTotalCO2ePerVolume</c:v>
                </c:pt>
                <c:pt idx="1">
                  <c:v>massDirectCO2ePerVolume</c:v>
                </c:pt>
                <c:pt idx="2">
                  <c:v>massIndirectCO2ePerVolume</c:v>
                </c:pt>
                <c:pt idx="3">
                  <c:v>massN2OPerVolume</c:v>
                </c:pt>
                <c:pt idx="4">
                  <c:v>massCO2PerVolume</c:v>
                </c:pt>
              </c:strCache>
            </c:strRef>
          </c:cat>
          <c:val>
            <c:numRef>
              <c:f>'transport defra fuel'!$D$7:$H$7</c:f>
              <c:numCache>
                <c:formatCode>0.00000</c:formatCode>
                <c:ptCount val="5"/>
                <c:pt idx="0">
                  <c:v>2.6674000000000002</c:v>
                </c:pt>
                <c:pt idx="1">
                  <c:v>2.2448000000000001</c:v>
                </c:pt>
                <c:pt idx="2">
                  <c:v>0.42259999999999998</c:v>
                </c:pt>
                <c:pt idx="3">
                  <c:v>6.4000000000000003E-3</c:v>
                </c:pt>
                <c:pt idx="4">
                  <c:v>2.2349999999999999</c:v>
                </c:pt>
              </c:numCache>
            </c:numRef>
          </c:val>
        </c:ser>
        <c:ser>
          <c:idx val="3"/>
          <c:order val="1"/>
          <c:tx>
            <c:strRef>
              <c:f>'transport defra fuel'!$C$4</c:f>
              <c:strCache>
                <c:ptCount val="1"/>
                <c:pt idx="0">
                  <c:v>Diesel (retail station biofuel blend)</c:v>
                </c:pt>
              </c:strCache>
            </c:strRef>
          </c:tx>
          <c:invertIfNegative val="0"/>
          <c:val>
            <c:numRef>
              <c:f>'transport defra fuel'!$D$4:$H$4</c:f>
              <c:numCache>
                <c:formatCode>0.00000</c:formatCode>
                <c:ptCount val="5"/>
                <c:pt idx="0">
                  <c:v>3.1040000000000001</c:v>
                </c:pt>
                <c:pt idx="1">
                  <c:v>2.5619000000000001</c:v>
                </c:pt>
                <c:pt idx="2">
                  <c:v>0.54210000000000003</c:v>
                </c:pt>
                <c:pt idx="3">
                  <c:v>1.83E-2</c:v>
                </c:pt>
                <c:pt idx="4">
                  <c:v>2.5424000000000002</c:v>
                </c:pt>
              </c:numCache>
            </c:numRef>
          </c:val>
        </c:ser>
        <c:ser>
          <c:idx val="1"/>
          <c:order val="2"/>
          <c:tx>
            <c:strRef>
              <c:f>'transport defra fuel'!$C$6</c:f>
              <c:strCache>
                <c:ptCount val="1"/>
                <c:pt idx="0">
                  <c:v>petrol</c:v>
                </c:pt>
              </c:strCache>
            </c:strRef>
          </c:tx>
          <c:invertIfNegative val="0"/>
          <c:val>
            <c:numRef>
              <c:f>'transport defra fuel'!$D$6:$H$6</c:f>
              <c:numCache>
                <c:formatCode>0.00000</c:formatCode>
                <c:ptCount val="5"/>
                <c:pt idx="0">
                  <c:v>2.7227000000000001</c:v>
                </c:pt>
                <c:pt idx="1">
                  <c:v>2.3117000000000001</c:v>
                </c:pt>
                <c:pt idx="2">
                  <c:v>0.41099999999999998</c:v>
                </c:pt>
                <c:pt idx="3">
                  <c:v>6.4999999999999997E-3</c:v>
                </c:pt>
                <c:pt idx="4">
                  <c:v>2.3018000000000001</c:v>
                </c:pt>
              </c:numCache>
            </c:numRef>
          </c:val>
        </c:ser>
        <c:ser>
          <c:idx val="4"/>
          <c:order val="3"/>
          <c:tx>
            <c:strRef>
              <c:f>'transport defra fuel'!$C$3</c:f>
              <c:strCache>
                <c:ptCount val="1"/>
                <c:pt idx="0">
                  <c:v>diesel</c:v>
                </c:pt>
              </c:strCache>
            </c:strRef>
          </c:tx>
          <c:invertIfNegative val="0"/>
          <c:val>
            <c:numRef>
              <c:f>'transport defra fuel'!$D$3:$H$3</c:f>
              <c:numCache>
                <c:formatCode>0.00000</c:formatCode>
                <c:ptCount val="5"/>
                <c:pt idx="0">
                  <c:v>3.1760999999999999</c:v>
                </c:pt>
                <c:pt idx="1">
                  <c:v>2.6676000000000002</c:v>
                </c:pt>
                <c:pt idx="2">
                  <c:v>0.50849999999999995</c:v>
                </c:pt>
                <c:pt idx="3">
                  <c:v>1.84E-2</c:v>
                </c:pt>
                <c:pt idx="4">
                  <c:v>2.6480000000000001</c:v>
                </c:pt>
              </c:numCache>
            </c:numRef>
          </c:val>
        </c:ser>
        <c:ser>
          <c:idx val="2"/>
          <c:order val="4"/>
          <c:tx>
            <c:strRef>
              <c:f>'transport defra fuel'!$C$5</c:f>
              <c:strCache>
                <c:ptCount val="1"/>
                <c:pt idx="0">
                  <c:v>lpg</c:v>
                </c:pt>
              </c:strCache>
            </c:strRef>
          </c:tx>
          <c:invertIfNegative val="0"/>
          <c:val>
            <c:numRef>
              <c:f>'transport defra fuel'!$D$5:$H$5</c:f>
              <c:numCache>
                <c:formatCode>0.00000</c:formatCode>
                <c:ptCount val="5"/>
                <c:pt idx="0">
                  <c:v>1.6786000000000001</c:v>
                </c:pt>
                <c:pt idx="1">
                  <c:v>1.4918</c:v>
                </c:pt>
                <c:pt idx="2">
                  <c:v>0.18679999999999999</c:v>
                </c:pt>
                <c:pt idx="3">
                  <c:v>2.3E-3</c:v>
                </c:pt>
                <c:pt idx="4">
                  <c:v>1.4883999999999999</c:v>
                </c:pt>
              </c:numCache>
            </c:numRef>
          </c:val>
        </c:ser>
        <c:ser>
          <c:idx val="5"/>
          <c:order val="5"/>
          <c:tx>
            <c:strRef>
              <c:f>'transport defra fuel'!$C$2</c:f>
              <c:strCache>
                <c:ptCount val="1"/>
                <c:pt idx="0">
                  <c:v>cng</c:v>
                </c:pt>
              </c:strCache>
            </c:strRef>
          </c:tx>
          <c:invertIfNegative val="0"/>
          <c:val>
            <c:numRef>
              <c:f>'transport defra fuel'!$D$2:$H$2</c:f>
              <c:numCache>
                <c:formatCode>0.00000</c:formatCode>
                <c:ptCount val="5"/>
                <c:pt idx="0">
                  <c:v>0.54361999999999999</c:v>
                </c:pt>
                <c:pt idx="1">
                  <c:v>0.47384999999999999</c:v>
                </c:pt>
                <c:pt idx="2">
                  <c:v>6.9790000000000005E-2</c:v>
                </c:pt>
                <c:pt idx="3">
                  <c:v>2.7999999999999998E-4</c:v>
                </c:pt>
                <c:pt idx="4">
                  <c:v>0.47284999999999999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226880"/>
        <c:axId val="347228416"/>
      </c:barChart>
      <c:catAx>
        <c:axId val="347226880"/>
        <c:scaling>
          <c:orientation val="minMax"/>
        </c:scaling>
        <c:delete val="0"/>
        <c:axPos val="b"/>
        <c:majorTickMark val="out"/>
        <c:minorTickMark val="none"/>
        <c:tickLblPos val="nextTo"/>
        <c:crossAx val="347228416"/>
        <c:crossesAt val="1.0000000000000004E-6"/>
        <c:auto val="1"/>
        <c:lblAlgn val="ctr"/>
        <c:lblOffset val="100"/>
        <c:noMultiLvlLbl val="0"/>
      </c:catAx>
      <c:valAx>
        <c:axId val="347228416"/>
        <c:scaling>
          <c:logBase val="2"/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347226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'transport defra vehicle'!$C$2</c:f>
              <c:strCache>
                <c:ptCount val="1"/>
                <c:pt idx="0">
                  <c:v>car, cng, average</c:v>
                </c:pt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vehicle'!$G$2:$L$2</c:f>
              <c:numCache>
                <c:formatCode>General</c:formatCode>
                <c:ptCount val="6"/>
                <c:pt idx="0">
                  <c:v>2.7570000000000001E-2</c:v>
                </c:pt>
                <c:pt idx="1">
                  <c:v>0.18806</c:v>
                </c:pt>
                <c:pt idx="2">
                  <c:v>1.15E-3</c:v>
                </c:pt>
                <c:pt idx="3">
                  <c:v>0.19001000000000001</c:v>
                </c:pt>
                <c:pt idx="4">
                  <c:v>0.21758</c:v>
                </c:pt>
                <c:pt idx="5">
                  <c:v>8.0000000000000004E-4</c:v>
                </c:pt>
              </c:numCache>
            </c:numRef>
          </c:val>
        </c:ser>
        <c:ser>
          <c:idx val="1"/>
          <c:order val="1"/>
          <c:tx>
            <c:strRef>
              <c:f>'transport defra vehicle'!$C$3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vehicle'!$G$3:$L$3</c:f>
              <c:numCache>
                <c:formatCode>General</c:formatCode>
                <c:ptCount val="6"/>
              </c:numCache>
            </c:numRef>
          </c:val>
        </c:ser>
        <c:ser>
          <c:idx val="2"/>
          <c:order val="2"/>
          <c:tx>
            <c:strRef>
              <c:f>'transport defra vehicle'!$C$4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vehicle'!$G$4:$L$4</c:f>
              <c:numCache>
                <c:formatCode>General</c:formatCode>
                <c:ptCount val="6"/>
              </c:numCache>
            </c:numRef>
          </c:val>
        </c:ser>
        <c:ser>
          <c:idx val="3"/>
          <c:order val="3"/>
          <c:tx>
            <c:strRef>
              <c:f>'transport defra vehicle'!$C$5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vehicle'!$G$5:$L$5</c:f>
              <c:numCache>
                <c:formatCode>General</c:formatCode>
                <c:ptCount val="6"/>
              </c:numCache>
            </c:numRef>
          </c:val>
        </c:ser>
        <c:ser>
          <c:idx val="4"/>
          <c:order val="4"/>
          <c:tx>
            <c:strRef>
              <c:f>'transport defra vehicle'!$C$6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vehicle'!$G$6:$L$6</c:f>
              <c:numCache>
                <c:formatCode>General</c:formatCode>
                <c:ptCount val="6"/>
              </c:numCache>
            </c:numRef>
          </c:val>
        </c:ser>
        <c:ser>
          <c:idx val="5"/>
          <c:order val="5"/>
          <c:tx>
            <c:strRef>
              <c:f>'transport defra vehicle'!$C$7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vehicle'!$G$7:$L$7</c:f>
              <c:numCache>
                <c:formatCode>General</c:formatCode>
                <c:ptCount val="6"/>
              </c:numCache>
            </c:numRef>
          </c:val>
        </c:ser>
        <c:ser>
          <c:idx val="6"/>
          <c:order val="6"/>
          <c:tx>
            <c:strRef>
              <c:f>'transport defra vehicle'!$C$8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vehicle'!$G$8:$L$8</c:f>
              <c:numCache>
                <c:formatCode>General</c:formatCode>
                <c:ptCount val="6"/>
              </c:numCache>
            </c:numRef>
          </c:val>
        </c:ser>
        <c:ser>
          <c:idx val="7"/>
          <c:order val="7"/>
          <c:tx>
            <c:strRef>
              <c:f>'transport defra vehicle'!$C$9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vehicle'!$G$9:$L$9</c:f>
              <c:numCache>
                <c:formatCode>General</c:formatCode>
                <c:ptCount val="6"/>
              </c:numCache>
            </c:numRef>
          </c:val>
        </c:ser>
        <c:ser>
          <c:idx val="8"/>
          <c:order val="8"/>
          <c:tx>
            <c:strRef>
              <c:f>'transport defra vehicle'!$C$10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vehicle'!$G$10:$L$10</c:f>
              <c:numCache>
                <c:formatCode>General</c:formatCode>
                <c:ptCount val="6"/>
              </c:numCache>
            </c:numRef>
          </c:val>
        </c:ser>
        <c:ser>
          <c:idx val="9"/>
          <c:order val="9"/>
          <c:tx>
            <c:strRef>
              <c:f>'transport defra vehicle'!$C$11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vehicle'!$G$11:$L$11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194880"/>
        <c:axId val="347196416"/>
      </c:radarChart>
      <c:catAx>
        <c:axId val="34719488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347196416"/>
        <c:crossesAt val="1.0000000000000005E-8"/>
        <c:auto val="1"/>
        <c:lblAlgn val="ctr"/>
        <c:lblOffset val="100"/>
        <c:noMultiLvlLbl val="0"/>
      </c:catAx>
      <c:valAx>
        <c:axId val="347196416"/>
        <c:scaling>
          <c:logBase val="2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7194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</xdr:row>
      <xdr:rowOff>152399</xdr:rowOff>
    </xdr:from>
    <xdr:to>
      <xdr:col>5</xdr:col>
      <xdr:colOff>66675</xdr:colOff>
      <xdr:row>29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11</xdr:row>
      <xdr:rowOff>161925</xdr:rowOff>
    </xdr:from>
    <xdr:to>
      <xdr:col>11</xdr:col>
      <xdr:colOff>542925</xdr:colOff>
      <xdr:row>29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L11" totalsRowShown="0">
  <autoFilter ref="A1:L11"/>
  <tableColumns count="12">
    <tableColumn id="1" name="Path"/>
    <tableColumn id="2" name="UID"/>
    <tableColumn id="3" name="Label">
      <calculatedColumnFormula>_xll.AMEE_DATAITEM_LABEL(A2,B2)</calculatedColumnFormula>
    </tableColumn>
    <tableColumn id="4" name="type">
      <calculatedColumnFormula>_xll.AMEE_DATAITEM_VALUE($A2,$B2,D$1)</calculatedColumnFormula>
    </tableColumn>
    <tableColumn id="5" name="size">
      <calculatedColumnFormula>_xll.AMEE_DATAITEM_VALUE($A2,$B2,E$1)</calculatedColumnFormula>
    </tableColumn>
    <tableColumn id="6" name="fuel">
      <calculatedColumnFormula>_xll.AMEE_DATAITEM_VALUE($A2,$B2,F$1)</calculatedColumnFormula>
    </tableColumn>
    <tableColumn id="7" name="massIndirectCO2ePerDistance">
      <calculatedColumnFormula>VALUE(_xll.AMEE_DATAITEM_VALUE($A2,$B2,G$1))</calculatedColumnFormula>
    </tableColumn>
    <tableColumn id="8" name="massCO2PerDistance">
      <calculatedColumnFormula>VALUE(_xll.AMEE_DATAITEM_VALUE($A2,$B2,H$1))</calculatedColumnFormula>
    </tableColumn>
    <tableColumn id="9" name="massN2OPerDistance">
      <calculatedColumnFormula>VALUE(_xll.AMEE_DATAITEM_VALUE($A2,$B2,I$1))</calculatedColumnFormula>
    </tableColumn>
    <tableColumn id="10" name="massDirectCO2ePerDistance">
      <calculatedColumnFormula>VALUE(_xll.AMEE_DATAITEM_VALUE($A2,$B2,J$1))</calculatedColumnFormula>
    </tableColumn>
    <tableColumn id="11" name="massTotalCO2ePerDistance">
      <calculatedColumnFormula>VALUE(_xll.AMEE_DATAITEM_VALUE($A2,$B2,K$1))</calculatedColumnFormula>
    </tableColumn>
    <tableColumn id="12" name="massCH4PerDistance">
      <calculatedColumnFormula>VALUE(_xll.AMEE_DATAITEM_VALUE($A2,$B2,L$1))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tabSelected="1" workbookViewId="0">
      <selection activeCell="F13" sqref="F13"/>
    </sheetView>
  </sheetViews>
  <sheetFormatPr defaultRowHeight="15" x14ac:dyDescent="0.25"/>
  <cols>
    <col min="1" max="1" width="25.5703125" customWidth="1"/>
    <col min="2" max="2" width="21.85546875" customWidth="1"/>
    <col min="3" max="3" width="33.85546875" customWidth="1"/>
    <col min="4" max="4" width="24.5703125" customWidth="1"/>
  </cols>
  <sheetData>
    <row r="1" spans="1:8" ht="109.5" x14ac:dyDescent="0.25">
      <c r="A1" t="s">
        <v>0</v>
      </c>
      <c r="B1" t="s">
        <v>4</v>
      </c>
      <c r="C1" t="s">
        <v>3</v>
      </c>
      <c r="D1" s="1" t="s">
        <v>10</v>
      </c>
      <c r="E1" s="1" t="s">
        <v>11</v>
      </c>
      <c r="F1" s="1" t="s">
        <v>12</v>
      </c>
      <c r="G1" s="1" t="s">
        <v>14</v>
      </c>
      <c r="H1" s="1" t="s">
        <v>15</v>
      </c>
    </row>
    <row r="2" spans="1:8" x14ac:dyDescent="0.25">
      <c r="A2" t="s">
        <v>1</v>
      </c>
      <c r="B2" t="s">
        <v>2</v>
      </c>
      <c r="C2" t="str">
        <f>_xll.AMEE_DATAITEM_LABEL(A2,B2)</f>
        <v>cng</v>
      </c>
      <c r="D2" s="2">
        <f>VALUE(_xll.AMEE_DATAITEM_VALUE($A2,$B2,D$1))</f>
        <v>0.54361999999999999</v>
      </c>
      <c r="E2" s="2">
        <f>VALUE(_xll.AMEE_DATAITEM_VALUE($A2,$B2,E$1))</f>
        <v>0.47384999999999999</v>
      </c>
      <c r="F2" s="2">
        <f>VALUE(_xll.AMEE_DATAITEM_VALUE($A2,$B2,F$1))</f>
        <v>6.9790000000000005E-2</v>
      </c>
      <c r="G2" s="2">
        <f>VALUE(_xll.AMEE_DATAITEM_VALUE($A2,$B2,G$1))</f>
        <v>2.7999999999999998E-4</v>
      </c>
      <c r="H2" s="2">
        <f>VALUE(_xll.AMEE_DATAITEM_VALUE($A2,$B2,H$1))</f>
        <v>0.47284999999999999</v>
      </c>
    </row>
    <row r="3" spans="1:8" x14ac:dyDescent="0.25">
      <c r="A3" t="s">
        <v>1</v>
      </c>
      <c r="B3" t="s">
        <v>5</v>
      </c>
      <c r="C3" t="str">
        <f>_xll.AMEE_DATAITEM_LABEL(A3,B3)</f>
        <v>diesel</v>
      </c>
      <c r="D3" s="2">
        <f>VALUE(_xll.AMEE_DATAITEM_VALUE($A3,$B3,D$1))</f>
        <v>3.1760999999999999</v>
      </c>
      <c r="E3" s="2">
        <f>VALUE(_xll.AMEE_DATAITEM_VALUE($A3,$B3,E$1))</f>
        <v>2.6676000000000002</v>
      </c>
      <c r="F3" s="2">
        <f>VALUE(_xll.AMEE_DATAITEM_VALUE($A3,$B3,F$1))</f>
        <v>0.50849999999999995</v>
      </c>
      <c r="G3" s="2">
        <f>VALUE(_xll.AMEE_DATAITEM_VALUE($A3,$B3,G$1))</f>
        <v>1.84E-2</v>
      </c>
      <c r="H3" s="2">
        <f>VALUE(_xll.AMEE_DATAITEM_VALUE($A3,$B3,H$1))</f>
        <v>2.6480000000000001</v>
      </c>
    </row>
    <row r="4" spans="1:8" x14ac:dyDescent="0.25">
      <c r="A4" t="s">
        <v>1</v>
      </c>
      <c r="B4" t="s">
        <v>6</v>
      </c>
      <c r="C4" t="str">
        <f>_xll.AMEE_DATAITEM_LABEL(A4,B4)</f>
        <v>Diesel (retail station biofuel blend)</v>
      </c>
      <c r="D4" s="2">
        <f>VALUE(_xll.AMEE_DATAITEM_VALUE($A4,$B4,D$1))</f>
        <v>3.1040000000000001</v>
      </c>
      <c r="E4" s="2">
        <f>VALUE(_xll.AMEE_DATAITEM_VALUE($A4,$B4,E$1))</f>
        <v>2.5619000000000001</v>
      </c>
      <c r="F4" s="2">
        <f>VALUE(_xll.AMEE_DATAITEM_VALUE($A4,$B4,F$1))</f>
        <v>0.54210000000000003</v>
      </c>
      <c r="G4" s="2">
        <f>VALUE(_xll.AMEE_DATAITEM_VALUE($A4,$B4,G$1))</f>
        <v>1.83E-2</v>
      </c>
      <c r="H4" s="2">
        <f>VALUE(_xll.AMEE_DATAITEM_VALUE($A4,$B4,H$1))</f>
        <v>2.5424000000000002</v>
      </c>
    </row>
    <row r="5" spans="1:8" x14ac:dyDescent="0.25">
      <c r="A5" t="s">
        <v>1</v>
      </c>
      <c r="B5" t="s">
        <v>7</v>
      </c>
      <c r="C5" t="str">
        <f>_xll.AMEE_DATAITEM_LABEL(A5,B5)</f>
        <v>lpg</v>
      </c>
      <c r="D5" s="2">
        <f>VALUE(_xll.AMEE_DATAITEM_VALUE($A5,$B5,D$1))</f>
        <v>1.6786000000000001</v>
      </c>
      <c r="E5" s="2">
        <f>VALUE(_xll.AMEE_DATAITEM_VALUE($A5,$B5,E$1))</f>
        <v>1.4918</v>
      </c>
      <c r="F5" s="2">
        <f>VALUE(_xll.AMEE_DATAITEM_VALUE($A5,$B5,F$1))</f>
        <v>0.18679999999999999</v>
      </c>
      <c r="G5" s="2">
        <f>VALUE(_xll.AMEE_DATAITEM_VALUE($A5,$B5,G$1))</f>
        <v>2.3E-3</v>
      </c>
      <c r="H5" s="2">
        <f>VALUE(_xll.AMEE_DATAITEM_VALUE($A5,$B5,H$1))</f>
        <v>1.4883999999999999</v>
      </c>
    </row>
    <row r="6" spans="1:8" x14ac:dyDescent="0.25">
      <c r="A6" t="s">
        <v>1</v>
      </c>
      <c r="B6" t="s">
        <v>8</v>
      </c>
      <c r="C6" t="str">
        <f>_xll.AMEE_DATAITEM_LABEL(A6,B6)</f>
        <v>petrol</v>
      </c>
      <c r="D6" s="2">
        <f>VALUE(_xll.AMEE_DATAITEM_VALUE($A6,$B6,D$1))</f>
        <v>2.7227000000000001</v>
      </c>
      <c r="E6" s="2">
        <f>VALUE(_xll.AMEE_DATAITEM_VALUE($A6,$B6,E$1))</f>
        <v>2.3117000000000001</v>
      </c>
      <c r="F6" s="2">
        <f>VALUE(_xll.AMEE_DATAITEM_VALUE($A6,$B6,F$1))</f>
        <v>0.41099999999999998</v>
      </c>
      <c r="G6" s="2">
        <f>VALUE(_xll.AMEE_DATAITEM_VALUE($A6,$B6,G$1))</f>
        <v>6.4999999999999997E-3</v>
      </c>
      <c r="H6" s="2">
        <f>VALUE(_xll.AMEE_DATAITEM_VALUE($A6,$B6,H$1))</f>
        <v>2.3018000000000001</v>
      </c>
    </row>
    <row r="7" spans="1:8" x14ac:dyDescent="0.25">
      <c r="A7" t="s">
        <v>1</v>
      </c>
      <c r="B7" t="s">
        <v>9</v>
      </c>
      <c r="C7" t="str">
        <f>_xll.AMEE_DATAITEM_LABEL(A7,B7)</f>
        <v>Petrol (retail station biofuel blend)</v>
      </c>
      <c r="D7" s="2">
        <f>VALUE(_xll.AMEE_DATAITEM_VALUE($A7,$B7,D$1))</f>
        <v>2.6674000000000002</v>
      </c>
      <c r="E7" s="2">
        <f>VALUE(_xll.AMEE_DATAITEM_VALUE($A7,$B7,E$1))</f>
        <v>2.2448000000000001</v>
      </c>
      <c r="F7" s="2">
        <f>VALUE(_xll.AMEE_DATAITEM_VALUE($A7,$B7,F$1))</f>
        <v>0.42259999999999998</v>
      </c>
      <c r="G7" s="2">
        <f>VALUE(_xll.AMEE_DATAITEM_VALUE($A7,$B7,G$1))</f>
        <v>6.4000000000000003E-3</v>
      </c>
      <c r="H7" s="2">
        <f>VALUE(_xll.AMEE_DATAITEM_VALUE($A7,$B7,H$1))</f>
        <v>2.2349999999999999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workbookViewId="0">
      <selection activeCell="C3" sqref="C3:L5"/>
    </sheetView>
  </sheetViews>
  <sheetFormatPr defaultRowHeight="15" x14ac:dyDescent="0.25"/>
  <cols>
    <col min="1" max="1" width="24.5703125" customWidth="1"/>
    <col min="2" max="2" width="15.42578125" customWidth="1"/>
    <col min="3" max="3" width="30" customWidth="1"/>
    <col min="7" max="7" width="14.85546875" customWidth="1"/>
    <col min="8" max="8" width="13" customWidth="1"/>
    <col min="9" max="9" width="11.7109375" customWidth="1"/>
    <col min="10" max="10" width="13.5703125" customWidth="1"/>
    <col min="11" max="11" width="12.28515625" customWidth="1"/>
    <col min="12" max="12" width="12" customWidth="1"/>
  </cols>
  <sheetData>
    <row r="1" spans="1:12" x14ac:dyDescent="0.25">
      <c r="A1" t="s">
        <v>0</v>
      </c>
      <c r="B1" t="s">
        <v>4</v>
      </c>
      <c r="C1" t="s">
        <v>26</v>
      </c>
      <c r="D1" t="s">
        <v>22</v>
      </c>
      <c r="E1" t="s">
        <v>24</v>
      </c>
      <c r="F1" t="s">
        <v>13</v>
      </c>
      <c r="G1" t="s">
        <v>21</v>
      </c>
      <c r="H1" t="s">
        <v>20</v>
      </c>
      <c r="I1" t="s">
        <v>18</v>
      </c>
      <c r="J1" t="s">
        <v>23</v>
      </c>
      <c r="K1" t="s">
        <v>19</v>
      </c>
      <c r="L1" t="s">
        <v>25</v>
      </c>
    </row>
    <row r="2" spans="1:12" x14ac:dyDescent="0.25">
      <c r="A2" t="s">
        <v>16</v>
      </c>
      <c r="B2" t="s">
        <v>17</v>
      </c>
      <c r="C2" t="str">
        <f>_xll.AMEE_DATAITEM_LABEL(A2,B2)</f>
        <v>car, cng, average</v>
      </c>
      <c r="D2" t="str">
        <f>_xll.AMEE_DATAITEM_VALUE($A2,$B2,D$1)</f>
        <v>car</v>
      </c>
      <c r="E2" t="str">
        <f>_xll.AMEE_DATAITEM_VALUE($A2,$B2,E$1)</f>
        <v>average</v>
      </c>
      <c r="F2" t="str">
        <f>_xll.AMEE_DATAITEM_VALUE($A2,$B2,F$1)</f>
        <v>cng</v>
      </c>
      <c r="G2">
        <f>VALUE(_xll.AMEE_DATAITEM_VALUE($A2,$B2,G$1))</f>
        <v>2.7570000000000001E-2</v>
      </c>
      <c r="H2">
        <f>VALUE(_xll.AMEE_DATAITEM_VALUE($A2,$B2,H$1))</f>
        <v>0.18806</v>
      </c>
      <c r="I2">
        <f>VALUE(_xll.AMEE_DATAITEM_VALUE($A2,$B2,I$1))</f>
        <v>1.15E-3</v>
      </c>
      <c r="J2">
        <f>VALUE(_xll.AMEE_DATAITEM_VALUE($A2,$B2,J$1))</f>
        <v>0.19001000000000001</v>
      </c>
      <c r="K2">
        <f>VALUE(_xll.AMEE_DATAITEM_VALUE($A2,$B2,K$1))</f>
        <v>0.21758</v>
      </c>
      <c r="L2">
        <f>VALUE(_xll.AMEE_DATAITEM_VALUE($A2,$B2,L$1))</f>
        <v>8.0000000000000004E-4</v>
      </c>
    </row>
    <row r="3" spans="1:12" x14ac:dyDescent="0.25">
      <c r="A3" t="s">
        <v>16</v>
      </c>
      <c r="B3" t="s">
        <v>27</v>
      </c>
    </row>
    <row r="4" spans="1:12" x14ac:dyDescent="0.25">
      <c r="A4" t="s">
        <v>16</v>
      </c>
      <c r="B4" t="s">
        <v>28</v>
      </c>
    </row>
    <row r="5" spans="1:12" x14ac:dyDescent="0.25">
      <c r="A5" t="s">
        <v>16</v>
      </c>
      <c r="B5" t="s">
        <v>29</v>
      </c>
    </row>
    <row r="6" spans="1:12" x14ac:dyDescent="0.25">
      <c r="A6" t="s">
        <v>16</v>
      </c>
      <c r="B6" t="s">
        <v>30</v>
      </c>
    </row>
    <row r="7" spans="1:12" x14ac:dyDescent="0.25">
      <c r="A7" t="s">
        <v>16</v>
      </c>
      <c r="B7" t="s">
        <v>31</v>
      </c>
    </row>
    <row r="8" spans="1:12" x14ac:dyDescent="0.25">
      <c r="A8" t="s">
        <v>16</v>
      </c>
      <c r="B8" t="s">
        <v>32</v>
      </c>
    </row>
    <row r="9" spans="1:12" x14ac:dyDescent="0.25">
      <c r="A9" t="s">
        <v>16</v>
      </c>
      <c r="B9" t="s">
        <v>33</v>
      </c>
    </row>
    <row r="10" spans="1:12" x14ac:dyDescent="0.25">
      <c r="A10" t="s">
        <v>16</v>
      </c>
      <c r="B10" t="s">
        <v>34</v>
      </c>
    </row>
    <row r="11" spans="1:12" x14ac:dyDescent="0.25">
      <c r="A11" t="s">
        <v>16</v>
      </c>
      <c r="B11" t="s">
        <v>35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transport defra fuel</vt:lpstr>
      <vt:lpstr>transport defra vehicle</vt:lpstr>
      <vt:lpstr>Sheet3</vt:lpstr>
    </vt:vector>
  </TitlesOfParts>
  <Company>City Index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Laing</dc:creator>
  <cp:lastModifiedBy>David Laing</cp:lastModifiedBy>
  <dcterms:created xsi:type="dcterms:W3CDTF">2012-01-28T15:44:37Z</dcterms:created>
  <dcterms:modified xsi:type="dcterms:W3CDTF">2012-01-29T12:30:10Z</dcterms:modified>
</cp:coreProperties>
</file>